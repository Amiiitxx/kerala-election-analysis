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a5442b8ebf551f0/Desktop/Project/excel/"/>
    </mc:Choice>
  </mc:AlternateContent>
  <xr:revisionPtr revIDLastSave="2" documentId="8_{4894628C-B4A3-4FEB-A6B6-66F565CD1057}" xr6:coauthVersionLast="47" xr6:coauthVersionMax="47" xr10:uidLastSave="{A3D336B0-2CC8-4E03-A9AA-82C1A420F003}"/>
  <bookViews>
    <workbookView xWindow="-108" yWindow="-108" windowWidth="23256" windowHeight="12456" xr2:uid="{00000000-000D-0000-FFFF-FFFF00000000}"/>
  </bookViews>
  <sheets>
    <sheet name="Dashboard" sheetId="5" r:id="rId1"/>
    <sheet name="Candidates 2024" sheetId="2" r:id="rId2"/>
    <sheet name="Current MPs" sheetId="1" r:id="rId3"/>
    <sheet name="Constituencies" sheetId="3" r:id="rId4"/>
    <sheet name="2019 Results" sheetId="4" r:id="rId5"/>
  </sheets>
  <definedNames>
    <definedName name="LDFCandidate">INDEX('Candidates 2024'!#REF!,MATCH('Candidates 2024'!#REF!,'Candidates 2024'!$C$3:$C$22,0))</definedName>
    <definedName name="NDACandidate">INDEX('Candidates 2024'!#REF!,MATCH('Candidates 2024'!#REF!,'Candidates 2024'!$C$3:$C$22,0))</definedName>
    <definedName name="PicOfCurrentMp">INDEX('Current MPs'!#REF!,MATCH('Current MPs'!#REF!,'Current MPs'!$C$2:$C$21,0))</definedName>
    <definedName name="UDFCandidate">INDEX('Candidates 2024'!#REF!,MATCH('Candidates 2024'!#REF!,'Candidates 2024'!$C$3:$C$22,0))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5" l="1"/>
  <c r="I12" i="5"/>
  <c r="I11" i="5"/>
  <c r="I10" i="5"/>
  <c r="G12" i="5"/>
  <c r="G11" i="5"/>
  <c r="E11" i="5"/>
  <c r="G10" i="5"/>
  <c r="E12" i="5"/>
  <c r="C11" i="5"/>
  <c r="C13" i="5"/>
  <c r="C12" i="5"/>
  <c r="B16" i="5"/>
  <c r="E10" i="5"/>
  <c r="C4" i="5"/>
  <c r="C3" i="5"/>
  <c r="C10" i="5"/>
</calcChain>
</file>

<file path=xl/sharedStrings.xml><?xml version="1.0" encoding="utf-8"?>
<sst xmlns="http://schemas.openxmlformats.org/spreadsheetml/2006/main" count="306" uniqueCount="125">
  <si>
    <t>No.</t>
  </si>
  <si>
    <t>Constituency</t>
  </si>
  <si>
    <t>Name of Elected M.P.</t>
  </si>
  <si>
    <t>Alliance</t>
  </si>
  <si>
    <t>Kasaragod</t>
  </si>
  <si>
    <t>Rajmohan Unnithan</t>
  </si>
  <si>
    <t>UDF</t>
  </si>
  <si>
    <t>INC</t>
  </si>
  <si>
    <t>Kannur</t>
  </si>
  <si>
    <t>K. Sudhakaran</t>
  </si>
  <si>
    <t>Vatakara</t>
  </si>
  <si>
    <t>K. Muraleedharan</t>
  </si>
  <si>
    <t>Wayanad</t>
  </si>
  <si>
    <t>Rahul Gandhi</t>
  </si>
  <si>
    <t>Kozhikode</t>
  </si>
  <si>
    <t>M. K. Raghavan</t>
  </si>
  <si>
    <t>Malappuram</t>
  </si>
  <si>
    <t>M. P. Abdussamad Samadani</t>
  </si>
  <si>
    <t>IUML</t>
  </si>
  <si>
    <t>Ponnani</t>
  </si>
  <si>
    <t>E. T. Muhammed Basheer</t>
  </si>
  <si>
    <t>Palakkad</t>
  </si>
  <si>
    <t>V. K. Sreekandan</t>
  </si>
  <si>
    <t>Alathur</t>
  </si>
  <si>
    <t>Ramya Haridas</t>
  </si>
  <si>
    <t>Thrissur</t>
  </si>
  <si>
    <t>T. N. Prathapan</t>
  </si>
  <si>
    <t>Chalakudy</t>
  </si>
  <si>
    <t>Benny Behanan</t>
  </si>
  <si>
    <t>Ernakulam</t>
  </si>
  <si>
    <t>Hibi Eden</t>
  </si>
  <si>
    <t>Idukki</t>
  </si>
  <si>
    <t>Dean Kuriakose</t>
  </si>
  <si>
    <t>Kottayam</t>
  </si>
  <si>
    <t>Thomas Chazhikadan</t>
  </si>
  <si>
    <t>LDF</t>
  </si>
  <si>
    <t>KCM</t>
  </si>
  <si>
    <t>Alappuzha</t>
  </si>
  <si>
    <t>A. M. Ariff</t>
  </si>
  <si>
    <t>CPIM</t>
  </si>
  <si>
    <t>Mavelikkara</t>
  </si>
  <si>
    <t>Kodikunnil Suresh</t>
  </si>
  <si>
    <t>Pathanamthitta</t>
  </si>
  <si>
    <t>Anto Antony Punnathaniyil</t>
  </si>
  <si>
    <t>Kollam</t>
  </si>
  <si>
    <t>N. K. Premachandran</t>
  </si>
  <si>
    <t>RSP</t>
  </si>
  <si>
    <t>Attingal</t>
  </si>
  <si>
    <t>Adoor Prakash</t>
  </si>
  <si>
    <t>Thiruvananthapuram</t>
  </si>
  <si>
    <t>Shashi Tharoor</t>
  </si>
  <si>
    <t>Party</t>
  </si>
  <si>
    <t>Age</t>
  </si>
  <si>
    <t>Electors</t>
  </si>
  <si>
    <t>Votes Polled</t>
  </si>
  <si>
    <t>Votes Received</t>
  </si>
  <si>
    <t>Margin</t>
  </si>
  <si>
    <t>UDF Votes</t>
  </si>
  <si>
    <t>LDF Votes</t>
  </si>
  <si>
    <t>Remarks</t>
  </si>
  <si>
    <t>Bye-election 2021</t>
  </si>
  <si>
    <t>CPI(M)</t>
  </si>
  <si>
    <t>BJP</t>
  </si>
  <si>
    <t>C Raghunath</t>
  </si>
  <si>
    <t>Shafi Parambil</t>
  </si>
  <si>
    <t>CPI</t>
  </si>
  <si>
    <t>K Surendran</t>
  </si>
  <si>
    <t>Elamaram Kareem</t>
  </si>
  <si>
    <t>V Vaseef</t>
  </si>
  <si>
    <t>Abdussamad Samadani</t>
  </si>
  <si>
    <t>A Vijayaraghavan</t>
  </si>
  <si>
    <t>C KrishnaKumar</t>
  </si>
  <si>
    <t>K Muraleedharan</t>
  </si>
  <si>
    <t>Suresh Gopi</t>
  </si>
  <si>
    <t>BDJS</t>
  </si>
  <si>
    <t>Joice George</t>
  </si>
  <si>
    <t>Sangeetha Vishwanathan</t>
  </si>
  <si>
    <t>KEC</t>
  </si>
  <si>
    <t>Francis George</t>
  </si>
  <si>
    <t>KC(M)</t>
  </si>
  <si>
    <t>Sobha Surendran</t>
  </si>
  <si>
    <t>Baiju Kalasala</t>
  </si>
  <si>
    <t>Anto Antony</t>
  </si>
  <si>
    <t>Anil Antony</t>
  </si>
  <si>
    <t>G Krishnakumar</t>
  </si>
  <si>
    <t>V Joy</t>
  </si>
  <si>
    <t>V Muraleedharan</t>
  </si>
  <si>
    <t>Pannyan Raveendran</t>
  </si>
  <si>
    <t>Rajeev Chandrasekhar</t>
  </si>
  <si>
    <t>UDF Candidate</t>
  </si>
  <si>
    <t>LDF Candidate</t>
  </si>
  <si>
    <t>Annie Raja</t>
  </si>
  <si>
    <t>NDA Candidate</t>
  </si>
  <si>
    <t>K Sudhakaran</t>
  </si>
  <si>
    <t>M K Raghavan</t>
  </si>
  <si>
    <t>V K Sreekandan</t>
  </si>
  <si>
    <t>A M Ariff</t>
  </si>
  <si>
    <t>N K Premachandran</t>
  </si>
  <si>
    <t>E T Mohammed Basheer</t>
  </si>
  <si>
    <t>K C Venugopal</t>
  </si>
  <si>
    <t>M V Balakrishnan</t>
  </si>
  <si>
    <t>M V Jayarajan</t>
  </si>
  <si>
    <t>K K Shailaja</t>
  </si>
  <si>
    <t>K S Hamza</t>
  </si>
  <si>
    <t>K Radhakrishnan</t>
  </si>
  <si>
    <t>Adv. V S Sunil Kumar</t>
  </si>
  <si>
    <t>Prof. C Raveendranath</t>
  </si>
  <si>
    <t>K J Shine</t>
  </si>
  <si>
    <t>Adv. C A Arun Kumar</t>
  </si>
  <si>
    <t>Dr. Thomas Issac</t>
  </si>
  <si>
    <t>M Mukesh</t>
  </si>
  <si>
    <t>M L Ashwini</t>
  </si>
  <si>
    <t>Praphul Krishnan</t>
  </si>
  <si>
    <t>M T Ramesh</t>
  </si>
  <si>
    <t>Dr. Abdul Salam</t>
  </si>
  <si>
    <t>Adv. Nivedida</t>
  </si>
  <si>
    <t>Dr. T N Sarasu</t>
  </si>
  <si>
    <t>K A Unnikrishnan</t>
  </si>
  <si>
    <t>K S Radhakrishnan</t>
  </si>
  <si>
    <t>Thushar Vellapally</t>
  </si>
  <si>
    <t>SC Reservation</t>
  </si>
  <si>
    <t>NDA Votes</t>
  </si>
  <si>
    <t>Number of Voters</t>
  </si>
  <si>
    <t>Name</t>
  </si>
  <si>
    <t>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</si>
</sst>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5C0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3" borderId="1" xfId="0" applyFill="1" applyBorder="1"/>
    <xf numFmtId="164" fontId="0" fillId="0" borderId="1" xfId="1" applyNumberFormat="1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" fontId="0" fillId="0" borderId="1" xfId="0" applyNumberFormat="1" applyBorder="1"/>
    <xf numFmtId="0" fontId="4" fillId="3" borderId="1" xfId="0" applyFont="1" applyFill="1" applyBorder="1"/>
    <xf numFmtId="0" fontId="0" fillId="0" borderId="0" xfId="0" applyAlignment="1">
      <alignment horizontal="center"/>
    </xf>
    <xf numFmtId="3" fontId="8" fillId="0" borderId="1" xfId="0" applyNumberFormat="1" applyFont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3" fontId="8" fillId="0" borderId="6" xfId="0" applyNumberFormat="1" applyFont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theme="5" tint="0.39994506668294322"/>
        </patternFill>
      </fill>
    </dxf>
  </dxfs>
  <tableStyles count="1" defaultTableStyle="TableStyleMedium2" defaultPivotStyle="PivotStyleLight16">
    <tableStyle name="Invisible" pivot="0" table="0" count="0" xr9:uid="{0E1F6B25-488F-44C2-BA42-1E644F6AEC34}"/>
  </tableStyles>
  <colors>
    <mruColors>
      <color rgb="FFFF5C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1"/>
              <a:t>Vote</a:t>
            </a:r>
            <a:r>
              <a:rPr lang="en-IN" sz="1200" b="1" i="1" baseline="0"/>
              <a:t> Share 2019</a:t>
            </a:r>
            <a:endParaRPr lang="en-IN" sz="1200" b="1" i="1"/>
          </a:p>
        </c:rich>
      </c:tx>
      <c:layout>
        <c:manualLayout>
          <c:xMode val="edge"/>
          <c:yMode val="edge"/>
          <c:x val="0.3927171214314642"/>
          <c:y val="0.17847475123386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497-493F-92A2-9EFE3DB98D3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497-493F-92A2-9EFE3DB98D3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497-493F-92A2-9EFE3DB98D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8836648"/>
        <c:axId val="448837008"/>
      </c:barChart>
      <c:catAx>
        <c:axId val="448836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8837008"/>
        <c:crosses val="autoZero"/>
        <c:auto val="1"/>
        <c:lblAlgn val="ctr"/>
        <c:lblOffset val="100"/>
        <c:noMultiLvlLbl val="0"/>
      </c:catAx>
      <c:valAx>
        <c:axId val="44883700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48836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63501</xdr:colOff>
      <xdr:row>5</xdr:row>
      <xdr:rowOff>171450</xdr:rowOff>
    </xdr:from>
    <xdr:to>
      <xdr:col>3</xdr:col>
      <xdr:colOff>120650</xdr:colOff>
      <xdr:row>8</xdr:row>
      <xdr:rowOff>86591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586989-5218-06D8-093C-85D4075E9336}"/>
            </a:ext>
          </a:extLst>
        </xdr:cNvPr>
        <xdr:cNvSpPr txBox="1"/>
      </xdr:nvSpPr>
      <xdr:spPr>
        <a:xfrm>
          <a:off x="63501" y="1092200"/>
          <a:ext cx="3213099" cy="4675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Algerian" panose="04020705040A02060702" pitchFamily="82" charset="0"/>
            </a:rPr>
            <a:t>The current M.P of the constituency</a:t>
          </a:r>
        </a:p>
      </xdr:txBody>
    </xdr:sp>
    <xdr:clientData/>
  </xdr:twoCellAnchor>
  <xdr:twoCellAnchor>
    <xdr:from>
      <xdr:col>3</xdr:col>
      <xdr:colOff>387350</xdr:colOff>
      <xdr:row>1</xdr:row>
      <xdr:rowOff>127000</xdr:rowOff>
    </xdr:from>
    <xdr:to>
      <xdr:col>8</xdr:col>
      <xdr:colOff>1701800</xdr:colOff>
      <xdr:row>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935559-3BD1-4048-9854-AB228315460B}"/>
            </a:ext>
          </a:extLst>
        </xdr:cNvPr>
        <xdr:cNvSpPr txBox="1"/>
      </xdr:nvSpPr>
      <xdr:spPr>
        <a:xfrm>
          <a:off x="3543300" y="311150"/>
          <a:ext cx="5734050" cy="146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Algerian" panose="04020705040A02060702" pitchFamily="82" charset="0"/>
            </a:rPr>
            <a:t>Candidates of major political fronts in the 2024 Kerala Lok Sabha elections</a:t>
          </a:r>
        </a:p>
      </xdr:txBody>
    </xdr:sp>
    <xdr:clientData/>
  </xdr:twoCellAnchor>
  <xdr:twoCellAnchor>
    <xdr:from>
      <xdr:col>3</xdr:col>
      <xdr:colOff>404091</xdr:colOff>
      <xdr:row>14</xdr:row>
      <xdr:rowOff>98136</xdr:rowOff>
    </xdr:from>
    <xdr:to>
      <xdr:col>9</xdr:col>
      <xdr:colOff>103909</xdr:colOff>
      <xdr:row>19</xdr:row>
      <xdr:rowOff>86592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839AB5-BE83-C34C-AAE4-CBC0316CE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69274</xdr:colOff>
      <xdr:row>5</xdr:row>
      <xdr:rowOff>69273</xdr:rowOff>
    </xdr:from>
    <xdr:to>
      <xdr:col>3</xdr:col>
      <xdr:colOff>138546</xdr:colOff>
      <xdr:row>19</xdr:row>
      <xdr:rowOff>11546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BA03EFF-9634-812F-B723-A1FC63DA7F54}"/>
            </a:ext>
          </a:extLst>
        </xdr:cNvPr>
        <xdr:cNvSpPr/>
      </xdr:nvSpPr>
      <xdr:spPr>
        <a:xfrm>
          <a:off x="69274" y="992909"/>
          <a:ext cx="3278908" cy="252845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354445</xdr:colOff>
      <xdr:row>0</xdr:row>
      <xdr:rowOff>115455</xdr:rowOff>
    </xdr:from>
    <xdr:to>
      <xdr:col>9</xdr:col>
      <xdr:colOff>150090</xdr:colOff>
      <xdr:row>13</xdr:row>
      <xdr:rowOff>178954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0C87CA2-231E-4CE4-8980-3F32C6F40D37}"/>
            </a:ext>
          </a:extLst>
        </xdr:cNvPr>
        <xdr:cNvSpPr/>
      </xdr:nvSpPr>
      <xdr:spPr>
        <a:xfrm>
          <a:off x="3564081" y="115455"/>
          <a:ext cx="6047509" cy="246495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350983</xdr:colOff>
      <xdr:row>14</xdr:row>
      <xdr:rowOff>103910</xdr:rowOff>
    </xdr:from>
    <xdr:to>
      <xdr:col>9</xdr:col>
      <xdr:colOff>146628</xdr:colOff>
      <xdr:row>19</xdr:row>
      <xdr:rowOff>8078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D77EA83-3CDA-A6CA-FE41-6F3288AF6BB1}"/>
            </a:ext>
          </a:extLst>
        </xdr:cNvPr>
        <xdr:cNvSpPr/>
      </xdr:nvSpPr>
      <xdr:spPr>
        <a:xfrm>
          <a:off x="3560619" y="2690092"/>
          <a:ext cx="6047509" cy="82780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412751</xdr:colOff>
      <xdr:row>0</xdr:row>
      <xdr:rowOff>120650</xdr:rowOff>
    </xdr:from>
    <xdr:to>
      <xdr:col>6</xdr:col>
      <xdr:colOff>1301751</xdr:colOff>
      <xdr:row>4</xdr:row>
      <xdr:rowOff>36695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EF331C-BBEC-C313-09A9-8005FEF06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7101" y="120650"/>
          <a:ext cx="889000" cy="652645"/>
        </a:xfrm>
        <a:prstGeom prst="rect">
          <a:avLst/>
        </a:prstGeom>
      </xdr:spPr>
    </xdr:pic>
    <xdr:clientData/>
  </xdr:twoCellAnchor>
  <xdr:twoCellAnchor editAs="oneCell">
    <xdr:from>
      <xdr:col>8</xdr:col>
      <xdr:colOff>65520</xdr:colOff>
      <xdr:row>10</xdr:row>
      <xdr:rowOff>38168</xdr:rowOff>
    </xdr:from>
    <xdr:to>
      <xdr:col>8</xdr:col>
      <xdr:colOff>494827</xdr:colOff>
      <xdr:row>12</xdr:row>
      <xdr:rowOff>98975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AAB7AFF-113D-B04A-20A4-F44284F6D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655040" y="1866968"/>
          <a:ext cx="429307" cy="426567"/>
        </a:xfrm>
        <a:prstGeom prst="rect">
          <a:avLst/>
        </a:prstGeom>
      </xdr:spPr>
    </xdr:pic>
    <xdr:clientData/>
  </xdr:twoCellAnchor>
  <xdr:twoCellAnchor editAs="oneCell">
    <xdr:from>
      <xdr:col>4</xdr:col>
      <xdr:colOff>42380</xdr:colOff>
      <xdr:row>10</xdr:row>
      <xdr:rowOff>25035</xdr:rowOff>
    </xdr:from>
    <xdr:to>
      <xdr:col>4</xdr:col>
      <xdr:colOff>556548</xdr:colOff>
      <xdr:row>13</xdr:row>
      <xdr:rowOff>30114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28B900B-B378-E094-4985-2B4C8D921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4513" y="1856361"/>
          <a:ext cx="514168" cy="554477"/>
        </a:xfrm>
        <a:prstGeom prst="rect">
          <a:avLst/>
        </a:prstGeom>
      </xdr:spPr>
    </xdr:pic>
    <xdr:clientData/>
  </xdr:twoCellAnchor>
  <xdr:twoCellAnchor editAs="oneCell">
    <xdr:from>
      <xdr:col>4</xdr:col>
      <xdr:colOff>1608584</xdr:colOff>
      <xdr:row>8</xdr:row>
      <xdr:rowOff>104128</xdr:rowOff>
    </xdr:from>
    <xdr:to>
      <xdr:col>6</xdr:col>
      <xdr:colOff>1048519</xdr:colOff>
      <xdr:row>13</xdr:row>
      <xdr:rowOff>130432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CCA1E63-9C84-1913-12D2-20C2E0A3F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503" y="1559479"/>
          <a:ext cx="1420448" cy="935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4</xdr:col>
      <xdr:colOff>0</xdr:colOff>
      <xdr:row>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808787-4483-41C1-A7BA-C5EE95C8B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9651" y="512445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0</xdr:colOff>
      <xdr:row>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0BCE7B-3689-4885-A402-6C7E493D1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6100" y="551815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8D1D41-BA12-49BF-A635-D90258978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351" y="508635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3158-1CD1-4B46-B3B6-B67890AD1E1D}">
  <dimension ref="B2:I31"/>
  <sheetViews>
    <sheetView showGridLines="0" tabSelected="1" zoomScale="94" zoomScaleNormal="94" workbookViewId="0">
      <selection activeCell="N13" sqref="N13"/>
    </sheetView>
  </sheetViews>
  <sheetFormatPr defaultRowHeight="14.4" x14ac:dyDescent="0.3"/>
  <cols>
    <col min="1" max="1" width="2.5546875" customWidth="1"/>
    <col min="2" max="2" width="18.77734375" customWidth="1"/>
    <col min="3" max="3" width="24.6640625" customWidth="1"/>
    <col min="4" max="4" width="6.6640625" customWidth="1"/>
    <col min="5" max="5" width="25.21875" style="2" customWidth="1"/>
    <col min="6" max="6" width="3.6640625" customWidth="1"/>
    <col min="7" max="7" width="25.21875" style="2" customWidth="1"/>
    <col min="8" max="8" width="3.6640625" customWidth="1"/>
    <col min="9" max="9" width="25.21875" style="2" customWidth="1"/>
    <col min="10" max="10" width="3.6640625" customWidth="1"/>
  </cols>
  <sheetData>
    <row r="2" spans="2:9" x14ac:dyDescent="0.3">
      <c r="B2" s="16" t="s">
        <v>1</v>
      </c>
      <c r="C2" s="3" t="s">
        <v>40</v>
      </c>
    </row>
    <row r="3" spans="2:9" x14ac:dyDescent="0.3">
      <c r="B3" s="16" t="s">
        <v>122</v>
      </c>
      <c r="C3" s="18">
        <f>VLOOKUP(C2,'Current MPs'!C2:K21,7,FALSE)</f>
        <v>972360</v>
      </c>
    </row>
    <row r="4" spans="2:9" x14ac:dyDescent="0.3">
      <c r="B4" s="16" t="s">
        <v>54</v>
      </c>
      <c r="C4" s="18">
        <f>VLOOKUP(C2,'Current MPs'!C2:K21,8,FALSE)</f>
        <v>440415</v>
      </c>
    </row>
    <row r="5" spans="2:9" x14ac:dyDescent="0.3">
      <c r="F5" s="2"/>
    </row>
    <row r="10" spans="2:9" x14ac:dyDescent="0.3">
      <c r="B10" s="6" t="s">
        <v>123</v>
      </c>
      <c r="C10" s="10" t="str">
        <f>VLOOKUP(C2,'Current MPs'!C2:K21,2,FALSE)</f>
        <v>Kodikunnil Suresh</v>
      </c>
      <c r="E10" s="10" t="str">
        <f>VLOOKUP(C2,'Candidates 2024'!C3:L22,2,FALSE)</f>
        <v>Kodikunnil Suresh</v>
      </c>
      <c r="G10" s="10" t="str">
        <f>VLOOKUP(C2,'Candidates 2024'!C3:L22,5,FALSE)</f>
        <v>Adv. C A Arun Kumar</v>
      </c>
      <c r="I10" s="10" t="str">
        <f>VLOOKUP(C2,'Candidates 2024'!C3:L22,8,FALSE)</f>
        <v>Baiju Kalasala</v>
      </c>
    </row>
    <row r="11" spans="2:9" x14ac:dyDescent="0.3">
      <c r="B11" s="6" t="s">
        <v>52</v>
      </c>
      <c r="C11" s="10">
        <f>VLOOKUP(C2,'Current MPs'!C2:K21,3,FALSE)</f>
        <v>61</v>
      </c>
      <c r="E11" s="27">
        <f>VLOOKUP(C2,'Current MPs'!C2:K21,3,FALSE)</f>
        <v>61</v>
      </c>
      <c r="G11" s="27">
        <f>VLOOKUP(C2,'Candidates 2024'!C3:L22,6,FALSE)</f>
        <v>40</v>
      </c>
      <c r="I11" s="27">
        <f>VLOOKUP(C2,'Candidates 2024'!C3:L22,9,FALSE)</f>
        <v>52</v>
      </c>
    </row>
    <row r="12" spans="2:9" x14ac:dyDescent="0.3">
      <c r="B12" s="6" t="s">
        <v>51</v>
      </c>
      <c r="C12" s="10" t="str">
        <f>VLOOKUP(C2,'Current MPs'!C2:K21,5,FALSE)</f>
        <v>INC</v>
      </c>
      <c r="E12" s="10" t="str">
        <f>VLOOKUP(C2,'Candidates 2024'!C3:L22,4,FALSE)</f>
        <v>INC</v>
      </c>
      <c r="G12" s="10" t="str">
        <f>VLOOKUP(C2,'Candidates 2024'!C3:L22,7,FALSE)</f>
        <v>CPI</v>
      </c>
      <c r="I12" s="10" t="str">
        <f>VLOOKUP(C2,'Candidates 2024'!C3:L22,10,FALSE)</f>
        <v>BDJS</v>
      </c>
    </row>
    <row r="13" spans="2:9" x14ac:dyDescent="0.3">
      <c r="B13" s="6" t="s">
        <v>3</v>
      </c>
      <c r="C13" s="10" t="str">
        <f>VLOOKUP(C2,'Current MPs'!C2:K21,4,FALSE)</f>
        <v>UDF</v>
      </c>
      <c r="E13" s="28" t="s">
        <v>6</v>
      </c>
      <c r="G13" s="29" t="s">
        <v>35</v>
      </c>
      <c r="I13" s="30" t="s">
        <v>124</v>
      </c>
    </row>
    <row r="15" spans="2:9" x14ac:dyDescent="0.3">
      <c r="B15" s="19" t="s">
        <v>55</v>
      </c>
      <c r="C15" s="20"/>
    </row>
    <row r="16" spans="2:9" x14ac:dyDescent="0.3">
      <c r="B16" s="21">
        <f>VLOOKUP(C2,'Current MPs'!C2:K21,8,FALSE)</f>
        <v>440415</v>
      </c>
      <c r="C16" s="22"/>
    </row>
    <row r="17" spans="2:9" x14ac:dyDescent="0.3">
      <c r="B17" s="23" t="s">
        <v>56</v>
      </c>
      <c r="C17" s="24"/>
    </row>
    <row r="18" spans="2:9" x14ac:dyDescent="0.3">
      <c r="B18" s="25">
        <f>VLOOKUP(C2,'Current MPs'!C2:K21,9,FALSE)</f>
        <v>61138</v>
      </c>
      <c r="C18" s="26"/>
    </row>
    <row r="24" spans="2:9" x14ac:dyDescent="0.3">
      <c r="B24" s="2"/>
      <c r="D24" s="2"/>
      <c r="E24"/>
      <c r="F24" s="2"/>
      <c r="G24"/>
      <c r="I24"/>
    </row>
    <row r="25" spans="2:9" x14ac:dyDescent="0.3">
      <c r="B25" s="2"/>
      <c r="D25" s="2"/>
      <c r="E25"/>
      <c r="F25" s="2"/>
      <c r="G25"/>
      <c r="I25"/>
    </row>
    <row r="26" spans="2:9" x14ac:dyDescent="0.3">
      <c r="B26" s="2"/>
      <c r="D26" s="2"/>
      <c r="E26"/>
      <c r="F26" s="2"/>
      <c r="G26"/>
      <c r="I26"/>
    </row>
    <row r="27" spans="2:9" x14ac:dyDescent="0.3">
      <c r="B27" s="2"/>
      <c r="D27" s="2"/>
      <c r="E27"/>
      <c r="F27" s="2"/>
      <c r="G27"/>
      <c r="I27"/>
    </row>
    <row r="28" spans="2:9" x14ac:dyDescent="0.3">
      <c r="B28" s="2"/>
      <c r="D28" s="2"/>
      <c r="E28"/>
      <c r="F28" s="2"/>
      <c r="G28"/>
      <c r="I28"/>
    </row>
    <row r="29" spans="2:9" x14ac:dyDescent="0.3">
      <c r="B29" s="2"/>
      <c r="D29" s="2"/>
      <c r="E29"/>
      <c r="F29" s="2"/>
      <c r="G29"/>
      <c r="I29"/>
    </row>
    <row r="30" spans="2:9" x14ac:dyDescent="0.3">
      <c r="B30" s="2"/>
      <c r="D30" s="2"/>
      <c r="E30"/>
      <c r="F30" s="2"/>
      <c r="G30"/>
      <c r="I30"/>
    </row>
    <row r="31" spans="2:9" x14ac:dyDescent="0.3">
      <c r="B31" s="2"/>
      <c r="D31" s="2"/>
      <c r="E31"/>
      <c r="F31" s="2"/>
      <c r="G31"/>
      <c r="I31"/>
    </row>
  </sheetData>
  <mergeCells count="4">
    <mergeCell ref="B15:C15"/>
    <mergeCell ref="B16:C16"/>
    <mergeCell ref="B17:C17"/>
    <mergeCell ref="B18:C18"/>
  </mergeCells>
  <conditionalFormatting sqref="C13">
    <cfRule type="cellIs" dxfId="2" priority="1" operator="equal">
      <formula>"NDA"</formula>
    </cfRule>
    <cfRule type="cellIs" dxfId="1" priority="2" operator="equal">
      <formula>"LDF"</formula>
    </cfRule>
    <cfRule type="cellIs" dxfId="0" priority="3" operator="equal">
      <formula>"UDF"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90D27B-2B7F-4F6F-A766-8993C5736033}">
          <x14:formula1>
            <xm:f>Constituencies!$C$3:$C$22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C336-9A3C-4759-9707-01E18481E659}">
  <dimension ref="B1:M22"/>
  <sheetViews>
    <sheetView zoomScaleNormal="100" workbookViewId="0">
      <pane ySplit="2" topLeftCell="A3" activePane="bottomLeft" state="frozen"/>
      <selection activeCell="D1" sqref="D1:D1048576"/>
      <selection pane="bottomLeft" activeCell="M2" sqref="M2"/>
    </sheetView>
  </sheetViews>
  <sheetFormatPr defaultRowHeight="14.4" x14ac:dyDescent="0.3"/>
  <cols>
    <col min="1" max="1" width="4.109375" customWidth="1"/>
    <col min="2" max="2" width="9" style="2" customWidth="1"/>
    <col min="3" max="3" width="20.77734375" customWidth="1"/>
    <col min="4" max="4" width="27.44140625" customWidth="1"/>
    <col min="5" max="5" width="9" customWidth="1"/>
    <col min="7" max="7" width="20.88671875" bestFit="1" customWidth="1"/>
    <col min="10" max="10" width="24.21875" customWidth="1"/>
    <col min="11" max="11" width="13.6640625" customWidth="1"/>
    <col min="13" max="13" width="13.21875" bestFit="1" customWidth="1"/>
    <col min="14" max="14" width="12.77734375" customWidth="1"/>
  </cols>
  <sheetData>
    <row r="1" spans="2:13" x14ac:dyDescent="0.3">
      <c r="B1" s="17"/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</row>
    <row r="2" spans="2:13" s="11" customFormat="1" x14ac:dyDescent="0.3">
      <c r="B2" s="9" t="s">
        <v>0</v>
      </c>
      <c r="C2" s="9" t="s">
        <v>1</v>
      </c>
      <c r="D2" s="12" t="s">
        <v>89</v>
      </c>
      <c r="E2" s="12" t="s">
        <v>52</v>
      </c>
      <c r="F2" s="12" t="s">
        <v>51</v>
      </c>
      <c r="G2" s="13" t="s">
        <v>90</v>
      </c>
      <c r="H2" s="13" t="s">
        <v>52</v>
      </c>
      <c r="I2" s="13" t="s">
        <v>51</v>
      </c>
      <c r="J2" s="9" t="s">
        <v>92</v>
      </c>
      <c r="K2" s="9" t="s">
        <v>52</v>
      </c>
      <c r="L2" s="9" t="s">
        <v>51</v>
      </c>
      <c r="M2" s="9" t="s">
        <v>59</v>
      </c>
    </row>
    <row r="3" spans="2:13" x14ac:dyDescent="0.3">
      <c r="B3" s="3">
        <v>1</v>
      </c>
      <c r="C3" s="4" t="s">
        <v>4</v>
      </c>
      <c r="D3" s="4" t="s">
        <v>5</v>
      </c>
      <c r="E3" s="4">
        <v>70</v>
      </c>
      <c r="F3" s="4" t="s">
        <v>7</v>
      </c>
      <c r="G3" s="4" t="s">
        <v>100</v>
      </c>
      <c r="H3" s="4">
        <v>74</v>
      </c>
      <c r="I3" s="4" t="s">
        <v>61</v>
      </c>
      <c r="J3" s="4" t="s">
        <v>111</v>
      </c>
      <c r="K3" s="4">
        <v>38</v>
      </c>
      <c r="L3" s="4" t="s">
        <v>62</v>
      </c>
      <c r="M3" s="4"/>
    </row>
    <row r="4" spans="2:13" x14ac:dyDescent="0.3">
      <c r="B4" s="3">
        <v>2</v>
      </c>
      <c r="C4" s="4" t="s">
        <v>8</v>
      </c>
      <c r="D4" s="4" t="s">
        <v>93</v>
      </c>
      <c r="E4" s="4">
        <v>75</v>
      </c>
      <c r="F4" s="4" t="s">
        <v>7</v>
      </c>
      <c r="G4" s="4" t="s">
        <v>101</v>
      </c>
      <c r="H4" s="4">
        <v>63</v>
      </c>
      <c r="I4" s="4" t="s">
        <v>61</v>
      </c>
      <c r="J4" s="4" t="s">
        <v>63</v>
      </c>
      <c r="K4" s="4">
        <v>67</v>
      </c>
      <c r="L4" s="4" t="s">
        <v>62</v>
      </c>
      <c r="M4" s="4"/>
    </row>
    <row r="5" spans="2:13" x14ac:dyDescent="0.3">
      <c r="B5" s="3">
        <v>3</v>
      </c>
      <c r="C5" s="4" t="s">
        <v>10</v>
      </c>
      <c r="D5" s="4" t="s">
        <v>64</v>
      </c>
      <c r="E5" s="4">
        <v>41</v>
      </c>
      <c r="F5" s="4" t="s">
        <v>7</v>
      </c>
      <c r="G5" s="4" t="s">
        <v>102</v>
      </c>
      <c r="H5" s="4">
        <v>67</v>
      </c>
      <c r="I5" s="4" t="s">
        <v>61</v>
      </c>
      <c r="J5" s="4" t="s">
        <v>112</v>
      </c>
      <c r="K5" s="4">
        <v>38</v>
      </c>
      <c r="L5" s="4" t="s">
        <v>62</v>
      </c>
      <c r="M5" s="4"/>
    </row>
    <row r="6" spans="2:13" x14ac:dyDescent="0.3">
      <c r="B6" s="3">
        <v>4</v>
      </c>
      <c r="C6" s="4" t="s">
        <v>12</v>
      </c>
      <c r="D6" s="4" t="s">
        <v>13</v>
      </c>
      <c r="E6" s="4">
        <v>53</v>
      </c>
      <c r="F6" s="4" t="s">
        <v>7</v>
      </c>
      <c r="G6" s="4" t="s">
        <v>91</v>
      </c>
      <c r="H6" s="4">
        <v>60</v>
      </c>
      <c r="I6" s="4" t="s">
        <v>65</v>
      </c>
      <c r="J6" s="4" t="s">
        <v>66</v>
      </c>
      <c r="K6" s="4">
        <v>54</v>
      </c>
      <c r="L6" s="4" t="s">
        <v>62</v>
      </c>
      <c r="M6" s="4"/>
    </row>
    <row r="7" spans="2:13" x14ac:dyDescent="0.3">
      <c r="B7" s="3">
        <v>5</v>
      </c>
      <c r="C7" s="4" t="s">
        <v>14</v>
      </c>
      <c r="D7" s="4" t="s">
        <v>94</v>
      </c>
      <c r="E7" s="4">
        <v>71</v>
      </c>
      <c r="F7" s="4" t="s">
        <v>7</v>
      </c>
      <c r="G7" s="4" t="s">
        <v>67</v>
      </c>
      <c r="H7" s="4">
        <v>70</v>
      </c>
      <c r="I7" s="4" t="s">
        <v>61</v>
      </c>
      <c r="J7" s="4" t="s">
        <v>113</v>
      </c>
      <c r="K7" s="4">
        <v>53</v>
      </c>
      <c r="L7" s="4" t="s">
        <v>62</v>
      </c>
      <c r="M7" s="4"/>
    </row>
    <row r="8" spans="2:13" x14ac:dyDescent="0.3">
      <c r="B8" s="3">
        <v>6</v>
      </c>
      <c r="C8" s="4" t="s">
        <v>16</v>
      </c>
      <c r="D8" s="4" t="s">
        <v>98</v>
      </c>
      <c r="E8" s="4">
        <v>77</v>
      </c>
      <c r="F8" s="4" t="s">
        <v>18</v>
      </c>
      <c r="G8" s="4" t="s">
        <v>68</v>
      </c>
      <c r="H8" s="4">
        <v>40</v>
      </c>
      <c r="I8" s="4" t="s">
        <v>61</v>
      </c>
      <c r="J8" s="4" t="s">
        <v>114</v>
      </c>
      <c r="K8" s="4">
        <v>71</v>
      </c>
      <c r="L8" s="4" t="s">
        <v>62</v>
      </c>
      <c r="M8" s="4"/>
    </row>
    <row r="9" spans="2:13" x14ac:dyDescent="0.3">
      <c r="B9" s="3">
        <v>7</v>
      </c>
      <c r="C9" s="4" t="s">
        <v>19</v>
      </c>
      <c r="D9" s="4" t="s">
        <v>69</v>
      </c>
      <c r="E9" s="4">
        <v>65</v>
      </c>
      <c r="F9" s="4" t="s">
        <v>18</v>
      </c>
      <c r="G9" s="4" t="s">
        <v>103</v>
      </c>
      <c r="H9" s="4">
        <v>56</v>
      </c>
      <c r="I9" s="4" t="s">
        <v>61</v>
      </c>
      <c r="J9" s="4" t="s">
        <v>115</v>
      </c>
      <c r="K9" s="4">
        <v>53</v>
      </c>
      <c r="L9" s="4" t="s">
        <v>62</v>
      </c>
      <c r="M9" s="4"/>
    </row>
    <row r="10" spans="2:13" x14ac:dyDescent="0.3">
      <c r="B10" s="3">
        <v>8</v>
      </c>
      <c r="C10" s="4" t="s">
        <v>21</v>
      </c>
      <c r="D10" s="4" t="s">
        <v>95</v>
      </c>
      <c r="E10" s="4">
        <v>54</v>
      </c>
      <c r="F10" s="4" t="s">
        <v>7</v>
      </c>
      <c r="G10" s="4" t="s">
        <v>70</v>
      </c>
      <c r="H10" s="4">
        <v>67</v>
      </c>
      <c r="I10" s="4" t="s">
        <v>61</v>
      </c>
      <c r="J10" s="4" t="s">
        <v>71</v>
      </c>
      <c r="K10" s="4">
        <v>52</v>
      </c>
      <c r="L10" s="4" t="s">
        <v>62</v>
      </c>
      <c r="M10" s="4"/>
    </row>
    <row r="11" spans="2:13" x14ac:dyDescent="0.3">
      <c r="B11" s="3">
        <v>9</v>
      </c>
      <c r="C11" s="4" t="s">
        <v>23</v>
      </c>
      <c r="D11" s="4" t="s">
        <v>24</v>
      </c>
      <c r="E11" s="4">
        <v>38</v>
      </c>
      <c r="F11" s="4" t="s">
        <v>7</v>
      </c>
      <c r="G11" s="4" t="s">
        <v>104</v>
      </c>
      <c r="H11" s="4">
        <v>60</v>
      </c>
      <c r="I11" s="4" t="s">
        <v>61</v>
      </c>
      <c r="J11" s="4" t="s">
        <v>116</v>
      </c>
      <c r="K11" s="4">
        <v>64</v>
      </c>
      <c r="L11" s="4" t="s">
        <v>62</v>
      </c>
      <c r="M11" s="4" t="s">
        <v>120</v>
      </c>
    </row>
    <row r="12" spans="2:13" x14ac:dyDescent="0.3">
      <c r="B12" s="3">
        <v>10</v>
      </c>
      <c r="C12" s="4" t="s">
        <v>25</v>
      </c>
      <c r="D12" s="4" t="s">
        <v>72</v>
      </c>
      <c r="E12" s="4">
        <v>66</v>
      </c>
      <c r="F12" s="4" t="s">
        <v>7</v>
      </c>
      <c r="G12" s="4" t="s">
        <v>105</v>
      </c>
      <c r="H12" s="4">
        <v>56</v>
      </c>
      <c r="I12" s="4" t="s">
        <v>65</v>
      </c>
      <c r="J12" s="4" t="s">
        <v>73</v>
      </c>
      <c r="K12" s="4">
        <v>65</v>
      </c>
      <c r="L12" s="4" t="s">
        <v>62</v>
      </c>
      <c r="M12" s="4"/>
    </row>
    <row r="13" spans="2:13" x14ac:dyDescent="0.3">
      <c r="B13" s="3">
        <v>11</v>
      </c>
      <c r="C13" s="4" t="s">
        <v>27</v>
      </c>
      <c r="D13" s="4" t="s">
        <v>28</v>
      </c>
      <c r="E13" s="4">
        <v>71</v>
      </c>
      <c r="F13" s="4" t="s">
        <v>7</v>
      </c>
      <c r="G13" s="4" t="s">
        <v>106</v>
      </c>
      <c r="H13" s="4">
        <v>68</v>
      </c>
      <c r="I13" s="4" t="s">
        <v>61</v>
      </c>
      <c r="J13" s="4" t="s">
        <v>117</v>
      </c>
      <c r="K13" s="4">
        <v>56</v>
      </c>
      <c r="L13" s="4" t="s">
        <v>74</v>
      </c>
      <c r="M13" s="4"/>
    </row>
    <row r="14" spans="2:13" x14ac:dyDescent="0.3">
      <c r="B14" s="3">
        <v>12</v>
      </c>
      <c r="C14" s="4" t="s">
        <v>29</v>
      </c>
      <c r="D14" s="4" t="s">
        <v>30</v>
      </c>
      <c r="E14" s="4">
        <v>40</v>
      </c>
      <c r="F14" s="4" t="s">
        <v>7</v>
      </c>
      <c r="G14" s="4" t="s">
        <v>107</v>
      </c>
      <c r="H14" s="4">
        <v>53</v>
      </c>
      <c r="I14" s="4" t="s">
        <v>61</v>
      </c>
      <c r="J14" s="4" t="s">
        <v>118</v>
      </c>
      <c r="K14" s="4">
        <v>69</v>
      </c>
      <c r="L14" s="4" t="s">
        <v>62</v>
      </c>
      <c r="M14" s="4"/>
    </row>
    <row r="15" spans="2:13" x14ac:dyDescent="0.3">
      <c r="B15" s="3">
        <v>13</v>
      </c>
      <c r="C15" s="4" t="s">
        <v>31</v>
      </c>
      <c r="D15" s="4" t="s">
        <v>32</v>
      </c>
      <c r="E15" s="4">
        <v>42</v>
      </c>
      <c r="F15" s="4" t="s">
        <v>7</v>
      </c>
      <c r="G15" s="4" t="s">
        <v>75</v>
      </c>
      <c r="H15" s="4">
        <v>53</v>
      </c>
      <c r="I15" s="4" t="s">
        <v>61</v>
      </c>
      <c r="J15" s="4" t="s">
        <v>76</v>
      </c>
      <c r="K15" s="4">
        <v>47</v>
      </c>
      <c r="L15" s="4" t="s">
        <v>74</v>
      </c>
      <c r="M15" s="4"/>
    </row>
    <row r="16" spans="2:13" x14ac:dyDescent="0.3">
      <c r="B16" s="3">
        <v>14</v>
      </c>
      <c r="C16" s="4" t="s">
        <v>33</v>
      </c>
      <c r="D16" s="4" t="s">
        <v>78</v>
      </c>
      <c r="E16" s="4">
        <v>68</v>
      </c>
      <c r="F16" s="4" t="s">
        <v>77</v>
      </c>
      <c r="G16" s="4" t="s">
        <v>34</v>
      </c>
      <c r="H16" s="4">
        <v>71</v>
      </c>
      <c r="I16" s="4" t="s">
        <v>79</v>
      </c>
      <c r="J16" s="4" t="s">
        <v>119</v>
      </c>
      <c r="K16" s="4">
        <v>55</v>
      </c>
      <c r="L16" s="4" t="s">
        <v>74</v>
      </c>
      <c r="M16" s="4"/>
    </row>
    <row r="17" spans="2:13" x14ac:dyDescent="0.3">
      <c r="B17" s="3">
        <v>15</v>
      </c>
      <c r="C17" s="4" t="s">
        <v>37</v>
      </c>
      <c r="D17" s="4" t="s">
        <v>99</v>
      </c>
      <c r="E17" s="4">
        <v>61</v>
      </c>
      <c r="F17" s="4" t="s">
        <v>7</v>
      </c>
      <c r="G17" s="4" t="s">
        <v>96</v>
      </c>
      <c r="H17" s="4">
        <v>59</v>
      </c>
      <c r="I17" s="4" t="s">
        <v>61</v>
      </c>
      <c r="J17" s="4" t="s">
        <v>80</v>
      </c>
      <c r="K17" s="4">
        <v>50</v>
      </c>
      <c r="L17" s="4" t="s">
        <v>62</v>
      </c>
      <c r="M17" s="4"/>
    </row>
    <row r="18" spans="2:13" x14ac:dyDescent="0.3">
      <c r="B18" s="3">
        <v>16</v>
      </c>
      <c r="C18" s="4" t="s">
        <v>40</v>
      </c>
      <c r="D18" s="4" t="s">
        <v>41</v>
      </c>
      <c r="E18" s="4">
        <v>61</v>
      </c>
      <c r="F18" s="4" t="s">
        <v>7</v>
      </c>
      <c r="G18" s="4" t="s">
        <v>108</v>
      </c>
      <c r="H18" s="4">
        <v>40</v>
      </c>
      <c r="I18" s="4" t="s">
        <v>65</v>
      </c>
      <c r="J18" s="4" t="s">
        <v>81</v>
      </c>
      <c r="K18" s="4">
        <v>52</v>
      </c>
      <c r="L18" s="4" t="s">
        <v>74</v>
      </c>
      <c r="M18" s="4" t="s">
        <v>120</v>
      </c>
    </row>
    <row r="19" spans="2:13" x14ac:dyDescent="0.3">
      <c r="B19" s="3">
        <v>17</v>
      </c>
      <c r="C19" s="4" t="s">
        <v>42</v>
      </c>
      <c r="D19" s="4" t="s">
        <v>82</v>
      </c>
      <c r="E19" s="4">
        <v>66</v>
      </c>
      <c r="F19" s="4" t="s">
        <v>7</v>
      </c>
      <c r="G19" s="4" t="s">
        <v>109</v>
      </c>
      <c r="H19" s="4">
        <v>71</v>
      </c>
      <c r="I19" s="4" t="s">
        <v>61</v>
      </c>
      <c r="J19" s="4" t="s">
        <v>83</v>
      </c>
      <c r="K19" s="4">
        <v>38</v>
      </c>
      <c r="L19" s="4" t="s">
        <v>62</v>
      </c>
      <c r="M19" s="4"/>
    </row>
    <row r="20" spans="2:13" x14ac:dyDescent="0.3">
      <c r="B20" s="3">
        <v>18</v>
      </c>
      <c r="C20" s="4" t="s">
        <v>44</v>
      </c>
      <c r="D20" s="4" t="s">
        <v>97</v>
      </c>
      <c r="E20" s="4">
        <v>63</v>
      </c>
      <c r="F20" s="4" t="s">
        <v>46</v>
      </c>
      <c r="G20" s="4" t="s">
        <v>110</v>
      </c>
      <c r="H20" s="4">
        <v>67</v>
      </c>
      <c r="I20" s="4" t="s">
        <v>61</v>
      </c>
      <c r="J20" s="4" t="s">
        <v>84</v>
      </c>
      <c r="K20" s="4">
        <v>55</v>
      </c>
      <c r="L20" s="4" t="s">
        <v>62</v>
      </c>
      <c r="M20" s="4"/>
    </row>
    <row r="21" spans="2:13" x14ac:dyDescent="0.3">
      <c r="B21" s="3">
        <v>19</v>
      </c>
      <c r="C21" s="4" t="s">
        <v>47</v>
      </c>
      <c r="D21" s="4" t="s">
        <v>48</v>
      </c>
      <c r="E21" s="4">
        <v>71</v>
      </c>
      <c r="F21" s="4" t="s">
        <v>7</v>
      </c>
      <c r="G21" s="4" t="s">
        <v>85</v>
      </c>
      <c r="H21" s="4">
        <v>58</v>
      </c>
      <c r="I21" s="4" t="s">
        <v>61</v>
      </c>
      <c r="J21" s="4" t="s">
        <v>86</v>
      </c>
      <c r="K21" s="4">
        <v>65</v>
      </c>
      <c r="L21" s="4" t="s">
        <v>62</v>
      </c>
      <c r="M21" s="4"/>
    </row>
    <row r="22" spans="2:13" x14ac:dyDescent="0.3">
      <c r="B22" s="3">
        <v>20</v>
      </c>
      <c r="C22" s="4" t="s">
        <v>49</v>
      </c>
      <c r="D22" s="4" t="s">
        <v>50</v>
      </c>
      <c r="E22" s="4">
        <v>68</v>
      </c>
      <c r="F22" s="4" t="s">
        <v>7</v>
      </c>
      <c r="G22" s="4" t="s">
        <v>87</v>
      </c>
      <c r="H22" s="4">
        <v>78</v>
      </c>
      <c r="I22" s="4" t="s">
        <v>65</v>
      </c>
      <c r="J22" s="4" t="s">
        <v>88</v>
      </c>
      <c r="K22" s="4">
        <v>59</v>
      </c>
      <c r="L22" s="4" t="s">
        <v>62</v>
      </c>
      <c r="M22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1"/>
  <sheetViews>
    <sheetView zoomScaleNormal="100" workbookViewId="0">
      <pane ySplit="1" topLeftCell="A2" activePane="bottomLeft" state="frozen"/>
      <selection sqref="A1:A1048576"/>
      <selection pane="bottomLeft" activeCell="G1" sqref="G1"/>
    </sheetView>
  </sheetViews>
  <sheetFormatPr defaultRowHeight="14.4" x14ac:dyDescent="0.3"/>
  <cols>
    <col min="1" max="1" width="4.109375" customWidth="1"/>
    <col min="2" max="2" width="9" style="2" customWidth="1"/>
    <col min="3" max="3" width="20.77734375" customWidth="1"/>
    <col min="4" max="4" width="27.44140625" customWidth="1"/>
    <col min="5" max="5" width="15.21875" customWidth="1"/>
    <col min="6" max="6" width="10.88671875" customWidth="1"/>
    <col min="7" max="7" width="9.21875" customWidth="1"/>
    <col min="8" max="8" width="13.109375" customWidth="1"/>
    <col min="9" max="9" width="13.77734375" customWidth="1"/>
    <col min="10" max="10" width="14.21875" bestFit="1" customWidth="1"/>
    <col min="11" max="11" width="11.21875" bestFit="1" customWidth="1"/>
    <col min="12" max="12" width="15.77734375" bestFit="1" customWidth="1"/>
  </cols>
  <sheetData>
    <row r="1" spans="2:17" x14ac:dyDescent="0.3">
      <c r="B1" s="5" t="s">
        <v>0</v>
      </c>
      <c r="C1" s="5" t="s">
        <v>1</v>
      </c>
      <c r="D1" s="5" t="s">
        <v>2</v>
      </c>
      <c r="E1" s="5" t="s">
        <v>52</v>
      </c>
      <c r="F1" s="5" t="s">
        <v>3</v>
      </c>
      <c r="G1" s="5" t="s">
        <v>51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59</v>
      </c>
    </row>
    <row r="2" spans="2:17" x14ac:dyDescent="0.3">
      <c r="B2" s="3">
        <v>1</v>
      </c>
      <c r="C2" s="4" t="s">
        <v>4</v>
      </c>
      <c r="D2" s="4" t="s">
        <v>5</v>
      </c>
      <c r="E2" s="4">
        <v>70</v>
      </c>
      <c r="F2" s="4" t="s">
        <v>6</v>
      </c>
      <c r="G2" s="4" t="s">
        <v>7</v>
      </c>
      <c r="H2" s="8">
        <v>1363937</v>
      </c>
      <c r="I2" s="8">
        <v>1100099</v>
      </c>
      <c r="J2" s="8">
        <v>474961</v>
      </c>
      <c r="K2" s="8">
        <v>40438</v>
      </c>
      <c r="L2" s="4"/>
      <c r="O2" s="1"/>
      <c r="P2" s="1"/>
      <c r="Q2" s="1"/>
    </row>
    <row r="3" spans="2:17" x14ac:dyDescent="0.3">
      <c r="B3" s="3">
        <v>2</v>
      </c>
      <c r="C3" s="4" t="s">
        <v>8</v>
      </c>
      <c r="D3" s="4" t="s">
        <v>9</v>
      </c>
      <c r="E3" s="4">
        <v>75</v>
      </c>
      <c r="F3" s="4" t="s">
        <v>6</v>
      </c>
      <c r="G3" s="4" t="s">
        <v>7</v>
      </c>
      <c r="H3" s="8">
        <v>1266550</v>
      </c>
      <c r="I3" s="8">
        <v>1054746</v>
      </c>
      <c r="J3" s="8">
        <v>529741</v>
      </c>
      <c r="K3" s="8">
        <v>94559</v>
      </c>
      <c r="L3" s="4"/>
      <c r="O3" s="1"/>
      <c r="P3" s="1"/>
      <c r="Q3" s="1"/>
    </row>
    <row r="4" spans="2:17" x14ac:dyDescent="0.3">
      <c r="B4" s="3">
        <v>3</v>
      </c>
      <c r="C4" s="4" t="s">
        <v>10</v>
      </c>
      <c r="D4" s="4" t="s">
        <v>11</v>
      </c>
      <c r="E4" s="4">
        <v>66</v>
      </c>
      <c r="F4" s="4" t="s">
        <v>6</v>
      </c>
      <c r="G4" s="4" t="s">
        <v>7</v>
      </c>
      <c r="H4" s="8">
        <v>1288926</v>
      </c>
      <c r="I4" s="8">
        <v>1065932</v>
      </c>
      <c r="J4" s="8">
        <v>526755</v>
      </c>
      <c r="K4" s="8">
        <v>84663</v>
      </c>
      <c r="L4" s="4"/>
      <c r="O4" s="1"/>
      <c r="P4" s="1"/>
      <c r="Q4" s="1"/>
    </row>
    <row r="5" spans="2:17" x14ac:dyDescent="0.3">
      <c r="B5" s="3">
        <v>4</v>
      </c>
      <c r="C5" s="4" t="s">
        <v>12</v>
      </c>
      <c r="D5" s="4" t="s">
        <v>13</v>
      </c>
      <c r="E5" s="4">
        <v>53</v>
      </c>
      <c r="F5" s="4" t="s">
        <v>6</v>
      </c>
      <c r="G5" s="4" t="s">
        <v>7</v>
      </c>
      <c r="H5" s="8">
        <v>1359679</v>
      </c>
      <c r="I5" s="8">
        <v>1092759</v>
      </c>
      <c r="J5" s="8">
        <v>706367</v>
      </c>
      <c r="K5" s="8">
        <v>431770</v>
      </c>
      <c r="L5" s="4"/>
      <c r="O5" s="1"/>
      <c r="P5" s="1"/>
      <c r="Q5" s="1"/>
    </row>
    <row r="6" spans="2:17" x14ac:dyDescent="0.3">
      <c r="B6" s="3">
        <v>5</v>
      </c>
      <c r="C6" s="4" t="s">
        <v>14</v>
      </c>
      <c r="D6" s="4" t="s">
        <v>15</v>
      </c>
      <c r="E6" s="4">
        <v>71</v>
      </c>
      <c r="F6" s="4" t="s">
        <v>6</v>
      </c>
      <c r="G6" s="4" t="s">
        <v>7</v>
      </c>
      <c r="H6" s="8">
        <v>1318024</v>
      </c>
      <c r="I6" s="8">
        <v>1076882</v>
      </c>
      <c r="J6" s="8">
        <v>493444</v>
      </c>
      <c r="K6" s="8">
        <v>85225</v>
      </c>
      <c r="L6" s="4"/>
      <c r="O6" s="1"/>
      <c r="P6" s="1"/>
      <c r="Q6" s="1"/>
    </row>
    <row r="7" spans="2:17" x14ac:dyDescent="0.3">
      <c r="B7" s="3">
        <v>6</v>
      </c>
      <c r="C7" s="4" t="s">
        <v>16</v>
      </c>
      <c r="D7" s="4" t="s">
        <v>17</v>
      </c>
      <c r="E7" s="4">
        <v>65</v>
      </c>
      <c r="F7" s="4" t="s">
        <v>6</v>
      </c>
      <c r="G7" s="4" t="s">
        <v>18</v>
      </c>
      <c r="H7" s="8">
        <v>1370544</v>
      </c>
      <c r="I7" s="8">
        <v>1034799</v>
      </c>
      <c r="J7" s="8">
        <v>538248</v>
      </c>
      <c r="K7" s="8">
        <v>114692</v>
      </c>
      <c r="L7" s="7" t="s">
        <v>60</v>
      </c>
      <c r="O7" s="1"/>
      <c r="P7" s="1"/>
      <c r="Q7" s="1"/>
    </row>
    <row r="8" spans="2:17" x14ac:dyDescent="0.3">
      <c r="B8" s="3">
        <v>7</v>
      </c>
      <c r="C8" s="4" t="s">
        <v>19</v>
      </c>
      <c r="D8" s="4" t="s">
        <v>20</v>
      </c>
      <c r="E8" s="4">
        <v>77</v>
      </c>
      <c r="F8" s="4" t="s">
        <v>6</v>
      </c>
      <c r="G8" s="4" t="s">
        <v>18</v>
      </c>
      <c r="H8" s="8">
        <v>1356803</v>
      </c>
      <c r="I8" s="8">
        <v>1017366</v>
      </c>
      <c r="J8" s="8">
        <v>521824</v>
      </c>
      <c r="K8" s="8">
        <v>193273</v>
      </c>
      <c r="L8" s="4"/>
      <c r="O8" s="1"/>
      <c r="P8" s="1"/>
      <c r="Q8" s="1"/>
    </row>
    <row r="9" spans="2:17" x14ac:dyDescent="0.3">
      <c r="B9" s="3">
        <v>8</v>
      </c>
      <c r="C9" s="4" t="s">
        <v>21</v>
      </c>
      <c r="D9" s="4" t="s">
        <v>22</v>
      </c>
      <c r="E9" s="4">
        <v>54</v>
      </c>
      <c r="F9" s="4" t="s">
        <v>6</v>
      </c>
      <c r="G9" s="4" t="s">
        <v>7</v>
      </c>
      <c r="H9" s="8">
        <v>1323010</v>
      </c>
      <c r="I9" s="8">
        <v>1028874</v>
      </c>
      <c r="J9" s="8">
        <v>399274</v>
      </c>
      <c r="K9" s="8">
        <v>11637</v>
      </c>
      <c r="L9" s="4"/>
      <c r="O9" s="1"/>
      <c r="P9" s="1"/>
      <c r="Q9" s="1"/>
    </row>
    <row r="10" spans="2:17" x14ac:dyDescent="0.3">
      <c r="B10" s="3">
        <v>9</v>
      </c>
      <c r="C10" s="4" t="s">
        <v>23</v>
      </c>
      <c r="D10" s="4" t="s">
        <v>24</v>
      </c>
      <c r="E10" s="4">
        <v>38</v>
      </c>
      <c r="F10" s="4" t="s">
        <v>6</v>
      </c>
      <c r="G10" s="4" t="s">
        <v>7</v>
      </c>
      <c r="H10" s="8">
        <v>1266794</v>
      </c>
      <c r="I10" s="8">
        <v>1019376</v>
      </c>
      <c r="J10" s="8">
        <v>533815</v>
      </c>
      <c r="K10" s="8">
        <v>158968</v>
      </c>
      <c r="L10" s="4"/>
      <c r="O10" s="1"/>
      <c r="P10" s="1"/>
      <c r="Q10" s="1"/>
    </row>
    <row r="11" spans="2:17" x14ac:dyDescent="0.3">
      <c r="B11" s="3">
        <v>10</v>
      </c>
      <c r="C11" s="4" t="s">
        <v>25</v>
      </c>
      <c r="D11" s="4" t="s">
        <v>26</v>
      </c>
      <c r="E11" s="4">
        <v>63</v>
      </c>
      <c r="F11" s="4" t="s">
        <v>6</v>
      </c>
      <c r="G11" s="4" t="s">
        <v>7</v>
      </c>
      <c r="H11" s="8">
        <v>1337110</v>
      </c>
      <c r="I11" s="8">
        <v>1042122</v>
      </c>
      <c r="J11" s="8">
        <v>415089</v>
      </c>
      <c r="K11" s="8">
        <v>93633</v>
      </c>
      <c r="L11" s="4"/>
      <c r="O11" s="1"/>
      <c r="P11" s="1"/>
      <c r="Q11" s="1"/>
    </row>
    <row r="12" spans="2:17" x14ac:dyDescent="0.3">
      <c r="B12" s="3">
        <v>11</v>
      </c>
      <c r="C12" s="4" t="s">
        <v>27</v>
      </c>
      <c r="D12" s="4" t="s">
        <v>28</v>
      </c>
      <c r="E12" s="4">
        <v>71</v>
      </c>
      <c r="F12" s="4" t="s">
        <v>6</v>
      </c>
      <c r="G12" s="4" t="s">
        <v>7</v>
      </c>
      <c r="H12" s="8">
        <v>1230197</v>
      </c>
      <c r="I12" s="8">
        <v>990433</v>
      </c>
      <c r="J12" s="8">
        <v>473444</v>
      </c>
      <c r="K12" s="8">
        <v>132274</v>
      </c>
      <c r="L12" s="4"/>
      <c r="O12" s="1"/>
      <c r="P12" s="1"/>
      <c r="Q12" s="1"/>
    </row>
    <row r="13" spans="2:17" x14ac:dyDescent="0.3">
      <c r="B13" s="3">
        <v>12</v>
      </c>
      <c r="C13" s="4" t="s">
        <v>29</v>
      </c>
      <c r="D13" s="4" t="s">
        <v>30</v>
      </c>
      <c r="E13" s="4">
        <v>40</v>
      </c>
      <c r="F13" s="4" t="s">
        <v>6</v>
      </c>
      <c r="G13" s="4" t="s">
        <v>7</v>
      </c>
      <c r="H13" s="8">
        <v>1245972</v>
      </c>
      <c r="I13" s="8">
        <v>967390</v>
      </c>
      <c r="J13" s="8">
        <v>491263</v>
      </c>
      <c r="K13" s="8">
        <v>169153</v>
      </c>
      <c r="L13" s="4"/>
      <c r="O13" s="1"/>
      <c r="P13" s="1"/>
      <c r="Q13" s="1"/>
    </row>
    <row r="14" spans="2:17" x14ac:dyDescent="0.3">
      <c r="B14" s="3">
        <v>13</v>
      </c>
      <c r="C14" s="4" t="s">
        <v>31</v>
      </c>
      <c r="D14" s="4" t="s">
        <v>32</v>
      </c>
      <c r="E14" s="4">
        <v>42</v>
      </c>
      <c r="F14" s="4" t="s">
        <v>6</v>
      </c>
      <c r="G14" s="4" t="s">
        <v>7</v>
      </c>
      <c r="H14" s="8">
        <v>1204191</v>
      </c>
      <c r="I14" s="8">
        <v>919559</v>
      </c>
      <c r="J14" s="8">
        <v>498493</v>
      </c>
      <c r="K14" s="8">
        <v>171053</v>
      </c>
      <c r="L14" s="4"/>
      <c r="O14" s="1"/>
      <c r="P14" s="1"/>
      <c r="Q14" s="1"/>
    </row>
    <row r="15" spans="2:17" x14ac:dyDescent="0.3">
      <c r="B15" s="3">
        <v>14</v>
      </c>
      <c r="C15" s="4" t="s">
        <v>33</v>
      </c>
      <c r="D15" s="4" t="s">
        <v>34</v>
      </c>
      <c r="E15" s="4">
        <v>71</v>
      </c>
      <c r="F15" s="4" t="s">
        <v>35</v>
      </c>
      <c r="G15" s="4" t="s">
        <v>36</v>
      </c>
      <c r="H15" s="8">
        <v>1206698</v>
      </c>
      <c r="I15" s="8">
        <v>910648</v>
      </c>
      <c r="J15" s="8">
        <v>421046</v>
      </c>
      <c r="K15" s="8">
        <v>106259</v>
      </c>
      <c r="L15" s="4"/>
      <c r="O15" s="1"/>
      <c r="P15" s="1"/>
      <c r="Q15" s="1"/>
    </row>
    <row r="16" spans="2:17" x14ac:dyDescent="0.3">
      <c r="B16" s="3">
        <v>15</v>
      </c>
      <c r="C16" s="4" t="s">
        <v>37</v>
      </c>
      <c r="D16" s="4" t="s">
        <v>38</v>
      </c>
      <c r="E16" s="4">
        <v>59</v>
      </c>
      <c r="F16" s="4" t="s">
        <v>35</v>
      </c>
      <c r="G16" s="4" t="s">
        <v>39</v>
      </c>
      <c r="H16" s="8">
        <v>1356701</v>
      </c>
      <c r="I16" s="8">
        <v>1090112</v>
      </c>
      <c r="J16" s="8">
        <v>445970</v>
      </c>
      <c r="K16" s="8">
        <v>10474</v>
      </c>
      <c r="L16" s="4"/>
      <c r="O16" s="1"/>
      <c r="P16" s="1"/>
      <c r="Q16" s="1"/>
    </row>
    <row r="17" spans="2:17" x14ac:dyDescent="0.3">
      <c r="B17" s="3">
        <v>16</v>
      </c>
      <c r="C17" s="4" t="s">
        <v>40</v>
      </c>
      <c r="D17" s="4" t="s">
        <v>41</v>
      </c>
      <c r="E17" s="4">
        <v>61</v>
      </c>
      <c r="F17" s="4" t="s">
        <v>6</v>
      </c>
      <c r="G17" s="4" t="s">
        <v>7</v>
      </c>
      <c r="H17" s="8">
        <v>1308102</v>
      </c>
      <c r="I17" s="8">
        <v>972360</v>
      </c>
      <c r="J17" s="8">
        <v>440415</v>
      </c>
      <c r="K17" s="8">
        <v>61138</v>
      </c>
      <c r="L17" s="4"/>
      <c r="O17" s="1"/>
      <c r="P17" s="1"/>
      <c r="Q17" s="1"/>
    </row>
    <row r="18" spans="2:17" x14ac:dyDescent="0.3">
      <c r="B18" s="3">
        <v>17</v>
      </c>
      <c r="C18" s="4" t="s">
        <v>42</v>
      </c>
      <c r="D18" s="4" t="s">
        <v>43</v>
      </c>
      <c r="E18" s="4">
        <v>66</v>
      </c>
      <c r="F18" s="4" t="s">
        <v>6</v>
      </c>
      <c r="G18" s="4" t="s">
        <v>7</v>
      </c>
      <c r="H18" s="8">
        <v>1382741</v>
      </c>
      <c r="I18" s="8">
        <v>1027378</v>
      </c>
      <c r="J18" s="8">
        <v>380927</v>
      </c>
      <c r="K18" s="8">
        <v>44243</v>
      </c>
      <c r="L18" s="4"/>
      <c r="O18" s="1"/>
      <c r="P18" s="1"/>
      <c r="Q18" s="1"/>
    </row>
    <row r="19" spans="2:17" x14ac:dyDescent="0.3">
      <c r="B19" s="3">
        <v>18</v>
      </c>
      <c r="C19" s="4" t="s">
        <v>44</v>
      </c>
      <c r="D19" s="4" t="s">
        <v>45</v>
      </c>
      <c r="E19" s="4">
        <v>63</v>
      </c>
      <c r="F19" s="4" t="s">
        <v>6</v>
      </c>
      <c r="G19" s="4" t="s">
        <v>46</v>
      </c>
      <c r="H19" s="8">
        <v>1296720</v>
      </c>
      <c r="I19" s="8">
        <v>969017</v>
      </c>
      <c r="J19" s="8">
        <v>499677</v>
      </c>
      <c r="K19" s="8">
        <v>148856</v>
      </c>
      <c r="L19" s="4"/>
      <c r="O19" s="1"/>
      <c r="P19" s="1"/>
      <c r="Q19" s="1"/>
    </row>
    <row r="20" spans="2:17" x14ac:dyDescent="0.3">
      <c r="B20" s="3">
        <v>19</v>
      </c>
      <c r="C20" s="4" t="s">
        <v>47</v>
      </c>
      <c r="D20" s="4" t="s">
        <v>48</v>
      </c>
      <c r="E20" s="4">
        <v>71</v>
      </c>
      <c r="F20" s="4" t="s">
        <v>6</v>
      </c>
      <c r="G20" s="4" t="s">
        <v>7</v>
      </c>
      <c r="H20" s="8">
        <v>1350710</v>
      </c>
      <c r="I20" s="8">
        <v>1006048</v>
      </c>
      <c r="J20" s="8">
        <v>380995</v>
      </c>
      <c r="K20" s="8">
        <v>38247</v>
      </c>
      <c r="L20" s="4"/>
      <c r="O20" s="1"/>
      <c r="P20" s="1"/>
      <c r="Q20" s="1"/>
    </row>
    <row r="21" spans="2:17" x14ac:dyDescent="0.3">
      <c r="B21" s="3">
        <v>20</v>
      </c>
      <c r="C21" s="4" t="s">
        <v>49</v>
      </c>
      <c r="D21" s="4" t="s">
        <v>50</v>
      </c>
      <c r="E21" s="4">
        <v>68</v>
      </c>
      <c r="F21" s="4" t="s">
        <v>6</v>
      </c>
      <c r="G21" s="4" t="s">
        <v>7</v>
      </c>
      <c r="H21" s="8">
        <v>1371427</v>
      </c>
      <c r="I21" s="8">
        <v>1011268</v>
      </c>
      <c r="J21" s="8">
        <v>416131</v>
      </c>
      <c r="K21" s="8">
        <v>99989</v>
      </c>
      <c r="L21" s="4"/>
      <c r="O21" s="1"/>
      <c r="P21" s="1"/>
      <c r="Q21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0183-B9CB-4E3C-ACDF-083016227590}">
  <dimension ref="B2:C22"/>
  <sheetViews>
    <sheetView workbookViewId="0">
      <selection activeCell="F26" sqref="F26"/>
    </sheetView>
  </sheetViews>
  <sheetFormatPr defaultRowHeight="14.4" x14ac:dyDescent="0.3"/>
  <cols>
    <col min="1" max="1" width="4.109375" customWidth="1"/>
    <col min="2" max="2" width="8.77734375" style="2"/>
    <col min="3" max="3" width="20.21875" customWidth="1"/>
  </cols>
  <sheetData>
    <row r="2" spans="2:3" x14ac:dyDescent="0.3">
      <c r="B2" s="14" t="s">
        <v>0</v>
      </c>
      <c r="C2" s="14" t="s">
        <v>1</v>
      </c>
    </row>
    <row r="3" spans="2:3" x14ac:dyDescent="0.3">
      <c r="B3" s="3">
        <v>1</v>
      </c>
      <c r="C3" s="4" t="s">
        <v>4</v>
      </c>
    </row>
    <row r="4" spans="2:3" x14ac:dyDescent="0.3">
      <c r="B4" s="3">
        <v>2</v>
      </c>
      <c r="C4" s="4" t="s">
        <v>8</v>
      </c>
    </row>
    <row r="5" spans="2:3" x14ac:dyDescent="0.3">
      <c r="B5" s="3">
        <v>3</v>
      </c>
      <c r="C5" s="4" t="s">
        <v>10</v>
      </c>
    </row>
    <row r="6" spans="2:3" x14ac:dyDescent="0.3">
      <c r="B6" s="3">
        <v>4</v>
      </c>
      <c r="C6" s="4" t="s">
        <v>12</v>
      </c>
    </row>
    <row r="7" spans="2:3" x14ac:dyDescent="0.3">
      <c r="B7" s="3">
        <v>5</v>
      </c>
      <c r="C7" s="4" t="s">
        <v>14</v>
      </c>
    </row>
    <row r="8" spans="2:3" x14ac:dyDescent="0.3">
      <c r="B8" s="3">
        <v>6</v>
      </c>
      <c r="C8" s="4" t="s">
        <v>16</v>
      </c>
    </row>
    <row r="9" spans="2:3" x14ac:dyDescent="0.3">
      <c r="B9" s="3">
        <v>7</v>
      </c>
      <c r="C9" s="4" t="s">
        <v>19</v>
      </c>
    </row>
    <row r="10" spans="2:3" x14ac:dyDescent="0.3">
      <c r="B10" s="3">
        <v>8</v>
      </c>
      <c r="C10" s="4" t="s">
        <v>21</v>
      </c>
    </row>
    <row r="11" spans="2:3" x14ac:dyDescent="0.3">
      <c r="B11" s="3">
        <v>9</v>
      </c>
      <c r="C11" s="4" t="s">
        <v>23</v>
      </c>
    </row>
    <row r="12" spans="2:3" x14ac:dyDescent="0.3">
      <c r="B12" s="3">
        <v>10</v>
      </c>
      <c r="C12" s="4" t="s">
        <v>25</v>
      </c>
    </row>
    <row r="13" spans="2:3" x14ac:dyDescent="0.3">
      <c r="B13" s="3">
        <v>11</v>
      </c>
      <c r="C13" s="4" t="s">
        <v>27</v>
      </c>
    </row>
    <row r="14" spans="2:3" x14ac:dyDescent="0.3">
      <c r="B14" s="3">
        <v>12</v>
      </c>
      <c r="C14" s="4" t="s">
        <v>29</v>
      </c>
    </row>
    <row r="15" spans="2:3" x14ac:dyDescent="0.3">
      <c r="B15" s="3">
        <v>13</v>
      </c>
      <c r="C15" s="4" t="s">
        <v>31</v>
      </c>
    </row>
    <row r="16" spans="2:3" x14ac:dyDescent="0.3">
      <c r="B16" s="3">
        <v>14</v>
      </c>
      <c r="C16" s="4" t="s">
        <v>33</v>
      </c>
    </row>
    <row r="17" spans="2:3" x14ac:dyDescent="0.3">
      <c r="B17" s="3">
        <v>15</v>
      </c>
      <c r="C17" s="4" t="s">
        <v>37</v>
      </c>
    </row>
    <row r="18" spans="2:3" x14ac:dyDescent="0.3">
      <c r="B18" s="3">
        <v>16</v>
      </c>
      <c r="C18" s="4" t="s">
        <v>40</v>
      </c>
    </row>
    <row r="19" spans="2:3" x14ac:dyDescent="0.3">
      <c r="B19" s="3">
        <v>17</v>
      </c>
      <c r="C19" s="4" t="s">
        <v>42</v>
      </c>
    </row>
    <row r="20" spans="2:3" x14ac:dyDescent="0.3">
      <c r="B20" s="3">
        <v>18</v>
      </c>
      <c r="C20" s="4" t="s">
        <v>44</v>
      </c>
    </row>
    <row r="21" spans="2:3" x14ac:dyDescent="0.3">
      <c r="B21" s="3">
        <v>19</v>
      </c>
      <c r="C21" s="4" t="s">
        <v>47</v>
      </c>
    </row>
    <row r="22" spans="2:3" x14ac:dyDescent="0.3">
      <c r="B22" s="3">
        <v>20</v>
      </c>
      <c r="C22" s="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5B43-0653-4A83-B02A-0B89911833AB}">
  <dimension ref="B2:F22"/>
  <sheetViews>
    <sheetView workbookViewId="0">
      <selection sqref="A1:A1048576"/>
    </sheetView>
  </sheetViews>
  <sheetFormatPr defaultRowHeight="14.4" x14ac:dyDescent="0.3"/>
  <cols>
    <col min="1" max="1" width="4.109375" customWidth="1"/>
    <col min="3" max="3" width="20.21875" customWidth="1"/>
    <col min="4" max="6" width="13.77734375" customWidth="1"/>
  </cols>
  <sheetData>
    <row r="2" spans="2:6" x14ac:dyDescent="0.3">
      <c r="B2" s="5" t="s">
        <v>0</v>
      </c>
      <c r="C2" s="5" t="s">
        <v>1</v>
      </c>
      <c r="D2" s="5" t="s">
        <v>57</v>
      </c>
      <c r="E2" s="5" t="s">
        <v>58</v>
      </c>
      <c r="F2" s="5" t="s">
        <v>121</v>
      </c>
    </row>
    <row r="3" spans="2:6" x14ac:dyDescent="0.3">
      <c r="B3" s="3">
        <v>1</v>
      </c>
      <c r="C3" s="4" t="s">
        <v>4</v>
      </c>
      <c r="D3" s="15">
        <v>474961</v>
      </c>
      <c r="E3" s="15">
        <v>434523</v>
      </c>
      <c r="F3" s="15">
        <v>176049</v>
      </c>
    </row>
    <row r="4" spans="2:6" x14ac:dyDescent="0.3">
      <c r="B4" s="3">
        <v>2</v>
      </c>
      <c r="C4" s="4" t="s">
        <v>8</v>
      </c>
      <c r="D4" s="15">
        <v>529741</v>
      </c>
      <c r="E4" s="15">
        <v>435182</v>
      </c>
      <c r="F4" s="15">
        <v>68509</v>
      </c>
    </row>
    <row r="5" spans="2:6" x14ac:dyDescent="0.3">
      <c r="B5" s="3">
        <v>3</v>
      </c>
      <c r="C5" s="4" t="s">
        <v>10</v>
      </c>
      <c r="D5" s="15">
        <v>526755</v>
      </c>
      <c r="E5" s="15">
        <v>442092</v>
      </c>
      <c r="F5" s="15">
        <v>80128</v>
      </c>
    </row>
    <row r="6" spans="2:6" x14ac:dyDescent="0.3">
      <c r="B6" s="3">
        <v>4</v>
      </c>
      <c r="C6" s="4" t="s">
        <v>12</v>
      </c>
      <c r="D6" s="15">
        <v>706367</v>
      </c>
      <c r="E6" s="15">
        <v>274597</v>
      </c>
      <c r="F6" s="15">
        <v>78816</v>
      </c>
    </row>
    <row r="7" spans="2:6" x14ac:dyDescent="0.3">
      <c r="B7" s="3">
        <v>5</v>
      </c>
      <c r="C7" s="4" t="s">
        <v>14</v>
      </c>
      <c r="D7" s="15">
        <v>493444</v>
      </c>
      <c r="E7" s="15">
        <v>408219</v>
      </c>
      <c r="F7" s="15">
        <v>161216</v>
      </c>
    </row>
    <row r="8" spans="2:6" x14ac:dyDescent="0.3">
      <c r="B8" s="3">
        <v>6</v>
      </c>
      <c r="C8" s="4" t="s">
        <v>16</v>
      </c>
      <c r="D8" s="15">
        <v>589873</v>
      </c>
      <c r="E8" s="15">
        <v>329720</v>
      </c>
      <c r="F8" s="15">
        <v>82332</v>
      </c>
    </row>
    <row r="9" spans="2:6" x14ac:dyDescent="0.3">
      <c r="B9" s="3">
        <v>7</v>
      </c>
      <c r="C9" s="4" t="s">
        <v>19</v>
      </c>
      <c r="D9" s="15">
        <v>521824</v>
      </c>
      <c r="E9" s="15">
        <v>328551</v>
      </c>
      <c r="F9" s="15">
        <v>110603</v>
      </c>
    </row>
    <row r="10" spans="2:6" x14ac:dyDescent="0.3">
      <c r="B10" s="3">
        <v>8</v>
      </c>
      <c r="C10" s="4" t="s">
        <v>21</v>
      </c>
      <c r="D10" s="15">
        <v>399274</v>
      </c>
      <c r="E10" s="15">
        <v>387637</v>
      </c>
      <c r="F10" s="15">
        <v>218556</v>
      </c>
    </row>
    <row r="11" spans="2:6" x14ac:dyDescent="0.3">
      <c r="B11" s="3">
        <v>9</v>
      </c>
      <c r="C11" s="4" t="s">
        <v>23</v>
      </c>
      <c r="D11" s="15">
        <v>533815</v>
      </c>
      <c r="E11" s="15">
        <v>374847</v>
      </c>
      <c r="F11" s="15">
        <v>89837</v>
      </c>
    </row>
    <row r="12" spans="2:6" x14ac:dyDescent="0.3">
      <c r="B12" s="3">
        <v>10</v>
      </c>
      <c r="C12" s="4" t="s">
        <v>25</v>
      </c>
      <c r="D12" s="15">
        <v>415089</v>
      </c>
      <c r="E12" s="15">
        <v>321456</v>
      </c>
      <c r="F12" s="15">
        <v>293822</v>
      </c>
    </row>
    <row r="13" spans="2:6" x14ac:dyDescent="0.3">
      <c r="B13" s="3">
        <v>11</v>
      </c>
      <c r="C13" s="4" t="s">
        <v>27</v>
      </c>
      <c r="D13" s="15">
        <v>473444</v>
      </c>
      <c r="E13" s="15">
        <v>341170</v>
      </c>
      <c r="F13" s="15">
        <v>154159</v>
      </c>
    </row>
    <row r="14" spans="2:6" x14ac:dyDescent="0.3">
      <c r="B14" s="3">
        <v>12</v>
      </c>
      <c r="C14" s="4" t="s">
        <v>29</v>
      </c>
      <c r="D14" s="15">
        <v>491263</v>
      </c>
      <c r="E14" s="15">
        <v>322110</v>
      </c>
      <c r="F14" s="15">
        <v>137749</v>
      </c>
    </row>
    <row r="15" spans="2:6" x14ac:dyDescent="0.3">
      <c r="B15" s="3">
        <v>13</v>
      </c>
      <c r="C15" s="4" t="s">
        <v>31</v>
      </c>
      <c r="D15" s="15">
        <v>498493</v>
      </c>
      <c r="E15" s="15">
        <v>327440</v>
      </c>
      <c r="F15" s="15">
        <v>78648</v>
      </c>
    </row>
    <row r="16" spans="2:6" x14ac:dyDescent="0.3">
      <c r="B16" s="3">
        <v>14</v>
      </c>
      <c r="C16" s="4" t="s">
        <v>33</v>
      </c>
      <c r="D16" s="15">
        <v>421046</v>
      </c>
      <c r="E16" s="15">
        <v>314787</v>
      </c>
      <c r="F16" s="15">
        <v>155135</v>
      </c>
    </row>
    <row r="17" spans="2:6" x14ac:dyDescent="0.3">
      <c r="B17" s="3">
        <v>15</v>
      </c>
      <c r="C17" s="4" t="s">
        <v>37</v>
      </c>
      <c r="D17" s="15">
        <v>435496</v>
      </c>
      <c r="E17" s="15">
        <v>445970</v>
      </c>
      <c r="F17" s="15">
        <v>187729</v>
      </c>
    </row>
    <row r="18" spans="2:6" x14ac:dyDescent="0.3">
      <c r="B18" s="3">
        <v>16</v>
      </c>
      <c r="C18" s="4" t="s">
        <v>40</v>
      </c>
      <c r="D18" s="15">
        <v>440415</v>
      </c>
      <c r="E18" s="15">
        <v>379277</v>
      </c>
      <c r="F18" s="15">
        <v>133546</v>
      </c>
    </row>
    <row r="19" spans="2:6" x14ac:dyDescent="0.3">
      <c r="B19" s="3">
        <v>17</v>
      </c>
      <c r="C19" s="4" t="s">
        <v>42</v>
      </c>
      <c r="D19" s="15">
        <v>380927</v>
      </c>
      <c r="E19" s="15">
        <v>336684</v>
      </c>
      <c r="F19" s="15">
        <v>297396</v>
      </c>
    </row>
    <row r="20" spans="2:6" x14ac:dyDescent="0.3">
      <c r="B20" s="3">
        <v>18</v>
      </c>
      <c r="C20" s="4" t="s">
        <v>44</v>
      </c>
      <c r="D20" s="15">
        <v>499677</v>
      </c>
      <c r="E20" s="15">
        <v>350821</v>
      </c>
      <c r="F20" s="15">
        <v>103339</v>
      </c>
    </row>
    <row r="21" spans="2:6" x14ac:dyDescent="0.3">
      <c r="B21" s="3">
        <v>19</v>
      </c>
      <c r="C21" s="4" t="s">
        <v>47</v>
      </c>
      <c r="D21" s="15">
        <v>380995</v>
      </c>
      <c r="E21" s="15">
        <v>342748</v>
      </c>
      <c r="F21" s="15">
        <v>248081</v>
      </c>
    </row>
    <row r="22" spans="2:6" x14ac:dyDescent="0.3">
      <c r="B22" s="3">
        <v>20</v>
      </c>
      <c r="C22" s="4" t="s">
        <v>49</v>
      </c>
      <c r="D22" s="15">
        <v>416151</v>
      </c>
      <c r="E22" s="15">
        <v>258556</v>
      </c>
      <c r="F22" s="15">
        <v>316142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Candidates 2024</vt:lpstr>
      <vt:lpstr>Current MPs</vt:lpstr>
      <vt:lpstr>Constituencies</vt:lpstr>
      <vt:lpstr>2019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Anand</dc:creator>
  <cp:lastModifiedBy>Amith Kannan</cp:lastModifiedBy>
  <dcterms:created xsi:type="dcterms:W3CDTF">2015-06-05T18:17:20Z</dcterms:created>
  <dcterms:modified xsi:type="dcterms:W3CDTF">2026-04-02T09:29:06Z</dcterms:modified>
</cp:coreProperties>
</file>